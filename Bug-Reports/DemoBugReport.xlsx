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ad\Desktop\"/>
    </mc:Choice>
  </mc:AlternateContent>
  <bookViews>
    <workbookView xWindow="0" yWindow="0" windowWidth="20490" windowHeight="7530" tabRatio="500"/>
  </bookViews>
  <sheets>
    <sheet name="Bug Report" sheetId="1" r:id="rId1"/>
    <sheet name="Summary" sheetId="2" r:id="rId2"/>
    <sheet name="Severity Guide" sheetId="3" r:id="rId3"/>
  </sheets>
  <definedNames>
    <definedName name="_xlnm._FilterDatabase" localSheetId="0" hidden="1">'Bug Report'!$A$4:$M$10</definedName>
  </definedNames>
  <calcPr calcId="162913" iterateDelta="1E-4"/>
  <extLs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B8" i="2" l="1"/>
  <c r="B7" i="2"/>
  <c r="B6" i="2"/>
  <c r="B5" i="2"/>
  <c r="B4" i="2"/>
  <c r="B3" i="2"/>
</calcChain>
</file>

<file path=xl/sharedStrings.xml><?xml version="1.0" encoding="utf-8"?>
<sst xmlns="http://schemas.openxmlformats.org/spreadsheetml/2006/main" count="109" uniqueCount="73">
  <si>
    <t>Bug Report – Demo Web Shop (https://demowebshop.tricentis.com)</t>
  </si>
  <si>
    <t>Tested by: [Your Name]   |   Test type: Manual (Functional / Negative)   |   Browser: Chrome (latest) on Windows 11   |   Report date: 30-Oct-2026</t>
  </si>
  <si>
    <t>Bug ID</t>
  </si>
  <si>
    <t>Title</t>
  </si>
  <si>
    <t>Module</t>
  </si>
  <si>
    <t>Linked Test Case</t>
  </si>
  <si>
    <t>Steps to Reproduce</t>
  </si>
  <si>
    <t>Expected Result</t>
  </si>
  <si>
    <t>Actual Result</t>
  </si>
  <si>
    <t>Severity</t>
  </si>
  <si>
    <t>Priority</t>
  </si>
  <si>
    <t>Status</t>
  </si>
  <si>
    <t>Reported By</t>
  </si>
  <si>
    <t>Date Reported</t>
  </si>
  <si>
    <t>Screenshot / Evidence</t>
  </si>
  <si>
    <t>BUG-001</t>
  </si>
  <si>
    <t>Phone number field accepts alphabets and special characters on checkout</t>
  </si>
  <si>
    <t>Checkout – Billing Address</t>
  </si>
  <si>
    <t>TC_[ID]</t>
  </si>
  <si>
    <t>1. Open the site and add any product to the cart.
2. Go to Shopping cart, accept the terms and click Checkout (as guest or logged-in user).
3. In Billing Address, fill all mandatory fields.
4. Enter 'abcd@#$%' in the Phone number field.
5. Click Continue.</t>
  </si>
  <si>
    <t>System should show a validation message that phone number must contain digits only, and block the user from continuing.</t>
  </si>
  <si>
    <t>No validation error is shown. The invalid phone number is accepted and the user moves to the next checkout step.</t>
  </si>
  <si>
    <t>Medium</t>
  </si>
  <si>
    <t>Open</t>
  </si>
  <si>
    <t>30-Oct-2026</t>
  </si>
  <si>
    <t>screenshots/BUG-001.png</t>
  </si>
  <si>
    <t>BUG-002</t>
  </si>
  <si>
    <t>ZIP / Postal code field accepts special characters only</t>
  </si>
  <si>
    <t>1. Add a product to the cart and click Checkout.
2. Fill all billing details with valid data.
3. Enter '!!!@@@###' in Zip / postal code.
4. Click Continue.</t>
  </si>
  <si>
    <t>A validation message should appear for an invalid postal code.</t>
  </si>
  <si>
    <t>Special characters are accepted as a valid ZIP code and the order flow continues.</t>
  </si>
  <si>
    <t>Low</t>
  </si>
  <si>
    <t>screenshots/BUG-002.png</t>
  </si>
  <si>
    <t>BUG-003</t>
  </si>
  <si>
    <t>First Name and Last Name accept numbers and symbols during registration</t>
  </si>
  <si>
    <t>User Registration</t>
  </si>
  <si>
    <t>1. Click 'Register' in the header.
2. Enter '12345' in First name and '@@##' in Last name.
3. Enter a valid unique email and a valid password (min 6 characters) in both password fields.
4. Click Register.</t>
  </si>
  <si>
    <t>Name fields should accept alphabets only and show an error for numbers/symbols.</t>
  </si>
  <si>
    <t>Registration completes successfully with numeric and symbol-only names. Account name appears as '12345 @@##' in the profile.</t>
  </si>
  <si>
    <t>screenshots/BUG-003.png</t>
  </si>
  <si>
    <t>BUG-004</t>
  </si>
  <si>
    <t>Shopping cart accepts an extremely large quantity without any limit message</t>
  </si>
  <si>
    <t>Shopping Cart</t>
  </si>
  <si>
    <t>1. Add any product to the cart.
2. Open Shopping cart.
3. Change the Qty field to '999999'.
4. Click 'Update shopping cart'.</t>
  </si>
  <si>
    <t>System should restrict the quantity to a maximum allowed limit or show a clear message about available stock / max quantity.</t>
  </si>
  <si>
    <t>Quantity is updated to 999999 and the total price is calculated without any warning or restriction.</t>
  </si>
  <si>
    <t>screenshots/BUG-004.png</t>
  </si>
  <si>
    <t>BUG-005</t>
  </si>
  <si>
    <t>Search with only special characters gives no clear guidance to the user</t>
  </si>
  <si>
    <t>Search</t>
  </si>
  <si>
    <t>1. Open the home page.
2. Type '@@@###' in the search box.
3. Click Search.</t>
  </si>
  <si>
    <t>A clear message such as 'Please enter a valid search term' should be displayed.</t>
  </si>
  <si>
    <t>Search page opens with a generic 'No products were found that matched your criteria.' message; the invalid input is not flagged.</t>
  </si>
  <si>
    <t>screenshots/BUG-005.png</t>
  </si>
  <si>
    <t>BUG-006</t>
  </si>
  <si>
    <t>Newsletter subscription gives no visible feedback style difference for duplicate email</t>
  </si>
  <si>
    <t>Newsletter</t>
  </si>
  <si>
    <t>1. Scroll to the footer on the home page.
2. Enter a valid email in the Newsletter box and click Subscribe.
3. Enter the same email again and click Subscribe.</t>
  </si>
  <si>
    <t>System should clearly inform the user that this email is already subscribed.</t>
  </si>
  <si>
    <t>The same success-type message is shown both times, so the user cannot tell whether a duplicate was detected.</t>
  </si>
  <si>
    <t>screenshots/BUG-006.png</t>
  </si>
  <si>
    <t>Bug Summary</t>
  </si>
  <si>
    <t>Total bugs</t>
  </si>
  <si>
    <t>High severity</t>
  </si>
  <si>
    <t>Medium severity</t>
  </si>
  <si>
    <t>Low severity</t>
  </si>
  <si>
    <t>Closed</t>
  </si>
  <si>
    <t>Meaning</t>
  </si>
  <si>
    <t>High</t>
  </si>
  <si>
    <t>Blocks a main feature (login, cart, payment) or causes data loss.</t>
  </si>
  <si>
    <t>Feature works but gives wrong result or missing validation.</t>
  </si>
  <si>
    <t>Cosmetic issue, wording, or minor usability problem.</t>
  </si>
  <si>
    <t>Anushka Sakare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</si>
</sst>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9" x14ac:knownFonts="1">
    <font>
      <sz val="11"/>
      <color theme="1"/>
      <name val="Calibri"/>
      <family val="2"/>
      <charset val="1"/>
    </font>
    <font>
      <b/>
      <sz val="14"/>
      <name val="Arial"/>
      <charset val="1"/>
    </font>
    <font>
      <i/>
      <sz val="10"/>
      <name val="Arial"/>
      <charset val="1"/>
    </font>
    <font>
      <b/>
      <sz val="10"/>
      <color rgb="FFFFFFFF"/>
      <name val="Arial"/>
      <charset val="1"/>
    </font>
    <font>
      <sz val="10"/>
      <name val="Arial"/>
      <charset val="1"/>
    </font>
    <font>
      <b/>
      <sz val="11"/>
      <name val="Arial"/>
      <charset val="1"/>
    </font>
    <font>
      <sz val="9"/>
      <name val="Arial"/>
      <charset val="1"/>
    </font>
    <font>
      <sz val="11"/>
      <name val="Arial"/>
      <charset val="1"/>
    </font>
    <font>
      <b/>
      <sz val="10"/>
      <name val="Arial"/>
      <charset val="1"/>
    </font>
  </fonts>
  <fills count="6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FFFF99"/>
        <bgColor rgb="FFFFFFCC"/>
      </patternFill>
    </fill>
    <fill>
      <patternFill patternType="solid">
        <fgColor rgb="FFFFE699"/>
        <bgColor rgb="FFFFFF99"/>
      </patternFill>
    </fill>
    <fill>
      <patternFill patternType="solid">
        <fgColor rgb="FFC6E0B4"/>
        <bgColor rgb="FFCCFFCC"/>
      </patternFill>
    </fill>
  </fills>
  <borders count="2">
    <border>
      <left/>
      <right/>
      <top/>
      <bottom/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vertical="top" wrapText="1"/>
    </xf>
    <xf numFmtId="0" fontId="4" fillId="3" borderId="1" xfId="0" applyFont="1" applyFill="1" applyBorder="1" applyAlignment="1">
      <alignment vertical="top" wrapText="1"/>
    </xf>
    <xf numFmtId="0" fontId="4" fillId="4" borderId="1" xfId="0" applyFont="1" applyFill="1" applyBorder="1" applyAlignment="1">
      <alignment vertical="top" wrapText="1"/>
    </xf>
    <xf numFmtId="0" fontId="4" fillId="5" borderId="1" xfId="0" applyFont="1" applyFill="1" applyBorder="1" applyAlignment="1">
      <alignment vertical="top" wrapText="1"/>
    </xf>
    <xf numFmtId="0" fontId="5" fillId="0" borderId="0" xfId="0" applyFont="1"/>
    <xf numFmtId="0" fontId="6" fillId="0" borderId="0" xfId="0" applyFont="1"/>
    <xf numFmtId="0" fontId="5" fillId="0" borderId="1" xfId="0" applyFont="1" applyBorder="1"/>
    <xf numFmtId="0" fontId="7" fillId="0" borderId="1" xfId="0" applyFont="1" applyBorder="1"/>
    <xf numFmtId="0" fontId="8" fillId="0" borderId="1" xfId="0" applyFont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6E0B4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E699"/>
      <rgbColor rgb="FF3366FF"/>
      <rgbColor rgb="FF33CCCC"/>
      <rgbColor rgb="FF99CC00"/>
      <rgbColor rgb="FFFFCC00"/>
      <rgbColor rgb="FFFF9900"/>
      <rgbColor rgb="FFFF6600"/>
      <rgbColor rgb="FF666699"/>
      <rgbColor rgb="FF999999"/>
      <rgbColor rgb="FF003366"/>
      <rgbColor rgb="FF339966"/>
      <rgbColor rgb="FF003300"/>
      <rgbColor rgb="FF333300"/>
      <rgbColor rgb="FF993300"/>
      <rgbColor rgb="FF993366"/>
      <rgbColor rgb="FF1F4E78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3"/>
  <sheetViews>
    <sheetView tabSelected="1" zoomScaleNormal="100" workbookViewId="0">
      <pane xSplit="2" ySplit="4" topLeftCell="C10" activePane="bottomRight" state="frozen"/>
      <selection pane="topRight" activeCell="C1" sqref="C1"/>
      <selection pane="bottomLeft" activeCell="A5" sqref="A5"/>
      <selection pane="bottomRight" activeCell="D5" sqref="D5"/>
    </sheetView>
  </sheetViews>
  <sheetFormatPr defaultColWidth="8.7109375" defaultRowHeight="15" x14ac:dyDescent="0.25"/>
  <cols>
    <col min="1" max="1" width="10" customWidth="1"/>
    <col min="2" max="2" width="37.28515625" customWidth="1"/>
    <col min="3" max="3" width="20.28515625" customWidth="1"/>
    <col min="4" max="4" width="14" customWidth="1"/>
    <col min="5" max="5" width="52" customWidth="1"/>
    <col min="6" max="6" width="38" customWidth="1"/>
    <col min="7" max="7" width="42" customWidth="1"/>
    <col min="8" max="10" width="10" customWidth="1"/>
    <col min="11" max="12" width="14" customWidth="1"/>
    <col min="13" max="13" width="24" customWidth="1"/>
  </cols>
  <sheetData>
    <row r="1" spans="1:13" ht="18" x14ac:dyDescent="0.25">
      <c r="A1" s="1" t="s">
        <v>0</v>
      </c>
    </row>
    <row r="2" spans="1:13" x14ac:dyDescent="0.25">
      <c r="A2" s="2" t="s">
        <v>1</v>
      </c>
      <c r="B2" t="s">
        <v>72</v>
      </c>
    </row>
    <row r="4" spans="1:13" ht="31.5" customHeight="1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  <c r="K4" s="3" t="s">
        <v>12</v>
      </c>
      <c r="L4" s="3" t="s">
        <v>13</v>
      </c>
      <c r="M4" s="3" t="s">
        <v>14</v>
      </c>
    </row>
    <row r="5" spans="1:13" ht="150" customHeight="1" x14ac:dyDescent="0.25">
      <c r="A5" s="4" t="s">
        <v>15</v>
      </c>
      <c r="B5" s="4" t="s">
        <v>16</v>
      </c>
      <c r="C5" s="4" t="s">
        <v>17</v>
      </c>
      <c r="D5" s="5" t="s">
        <v>18</v>
      </c>
      <c r="E5" s="4" t="s">
        <v>19</v>
      </c>
      <c r="F5" s="4" t="s">
        <v>20</v>
      </c>
      <c r="G5" s="4" t="s">
        <v>21</v>
      </c>
      <c r="H5" s="6" t="s">
        <v>22</v>
      </c>
      <c r="I5" s="4" t="s">
        <v>22</v>
      </c>
      <c r="J5" s="4" t="s">
        <v>23</v>
      </c>
      <c r="K5" s="5" t="s">
        <v>72</v>
      </c>
      <c r="L5" s="4" t="s">
        <v>24</v>
      </c>
      <c r="M5" s="4" t="s">
        <v>25</v>
      </c>
    </row>
    <row r="6" spans="1:13" ht="150" customHeight="1" x14ac:dyDescent="0.25">
      <c r="A6" s="4" t="s">
        <v>26</v>
      </c>
      <c r="B6" s="4" t="s">
        <v>27</v>
      </c>
      <c r="C6" s="4" t="s">
        <v>17</v>
      </c>
      <c r="D6" s="5" t="s">
        <v>18</v>
      </c>
      <c r="E6" s="4" t="s">
        <v>28</v>
      </c>
      <c r="F6" s="4" t="s">
        <v>29</v>
      </c>
      <c r="G6" s="4" t="s">
        <v>30</v>
      </c>
      <c r="H6" s="7" t="s">
        <v>31</v>
      </c>
      <c r="I6" s="4" t="s">
        <v>31</v>
      </c>
      <c r="J6" s="4" t="s">
        <v>23</v>
      </c>
      <c r="K6" s="5" t="s">
        <v>72</v>
      </c>
      <c r="L6" s="4" t="s">
        <v>24</v>
      </c>
      <c r="M6" s="4" t="s">
        <v>32</v>
      </c>
    </row>
    <row r="7" spans="1:13" ht="150" customHeight="1" x14ac:dyDescent="0.25">
      <c r="A7" s="4" t="s">
        <v>33</v>
      </c>
      <c r="B7" s="4" t="s">
        <v>34</v>
      </c>
      <c r="C7" s="4" t="s">
        <v>35</v>
      </c>
      <c r="D7" s="5" t="s">
        <v>18</v>
      </c>
      <c r="E7" s="4" t="s">
        <v>36</v>
      </c>
      <c r="F7" s="4" t="s">
        <v>37</v>
      </c>
      <c r="G7" s="4" t="s">
        <v>38</v>
      </c>
      <c r="H7" s="7" t="s">
        <v>31</v>
      </c>
      <c r="I7" s="4" t="s">
        <v>22</v>
      </c>
      <c r="J7" s="4" t="s">
        <v>23</v>
      </c>
      <c r="K7" s="5" t="s">
        <v>72</v>
      </c>
      <c r="L7" s="4" t="s">
        <v>24</v>
      </c>
      <c r="M7" s="4" t="s">
        <v>39</v>
      </c>
    </row>
    <row r="8" spans="1:13" ht="150" customHeight="1" x14ac:dyDescent="0.25">
      <c r="A8" s="4" t="s">
        <v>40</v>
      </c>
      <c r="B8" s="4" t="s">
        <v>41</v>
      </c>
      <c r="C8" s="4" t="s">
        <v>42</v>
      </c>
      <c r="D8" s="5" t="s">
        <v>18</v>
      </c>
      <c r="E8" s="4" t="s">
        <v>43</v>
      </c>
      <c r="F8" s="4" t="s">
        <v>44</v>
      </c>
      <c r="G8" s="4" t="s">
        <v>45</v>
      </c>
      <c r="H8" s="6" t="s">
        <v>22</v>
      </c>
      <c r="I8" s="4" t="s">
        <v>22</v>
      </c>
      <c r="J8" s="4" t="s">
        <v>23</v>
      </c>
      <c r="K8" s="5" t="s">
        <v>72</v>
      </c>
      <c r="L8" s="4" t="s">
        <v>24</v>
      </c>
      <c r="M8" s="4" t="s">
        <v>46</v>
      </c>
    </row>
    <row r="9" spans="1:13" ht="150" customHeight="1" x14ac:dyDescent="0.25">
      <c r="A9" s="4" t="s">
        <v>47</v>
      </c>
      <c r="B9" s="4" t="s">
        <v>48</v>
      </c>
      <c r="C9" s="4" t="s">
        <v>49</v>
      </c>
      <c r="D9" s="5" t="s">
        <v>18</v>
      </c>
      <c r="E9" s="4" t="s">
        <v>50</v>
      </c>
      <c r="F9" s="4" t="s">
        <v>51</v>
      </c>
      <c r="G9" s="4" t="s">
        <v>52</v>
      </c>
      <c r="H9" s="7" t="s">
        <v>31</v>
      </c>
      <c r="I9" s="4" t="s">
        <v>31</v>
      </c>
      <c r="J9" s="4" t="s">
        <v>23</v>
      </c>
      <c r="K9" s="5" t="s">
        <v>72</v>
      </c>
      <c r="L9" s="4" t="s">
        <v>24</v>
      </c>
      <c r="M9" s="4" t="s">
        <v>53</v>
      </c>
    </row>
    <row r="10" spans="1:13" ht="150" customHeight="1" x14ac:dyDescent="0.25">
      <c r="A10" s="4" t="s">
        <v>54</v>
      </c>
      <c r="B10" s="4" t="s">
        <v>55</v>
      </c>
      <c r="C10" s="4" t="s">
        <v>56</v>
      </c>
      <c r="D10" s="5" t="s">
        <v>18</v>
      </c>
      <c r="E10" s="4" t="s">
        <v>57</v>
      </c>
      <c r="F10" s="4" t="s">
        <v>58</v>
      </c>
      <c r="G10" s="4" t="s">
        <v>59</v>
      </c>
      <c r="H10" s="7" t="s">
        <v>31</v>
      </c>
      <c r="I10" s="4" t="s">
        <v>31</v>
      </c>
      <c r="J10" s="4" t="s">
        <v>23</v>
      </c>
      <c r="K10" s="5" t="s">
        <v>72</v>
      </c>
      <c r="L10" s="4" t="s">
        <v>24</v>
      </c>
      <c r="M10" s="4" t="s">
        <v>60</v>
      </c>
    </row>
    <row r="12" spans="1:13" x14ac:dyDescent="0.25">
      <c r="A12" s="8"/>
    </row>
    <row r="13" spans="1:13" x14ac:dyDescent="0.25">
      <c r="A13" s="9"/>
    </row>
  </sheetData>
  <autoFilter ref="A4:M10"/>
  <dataValidations count="2">
    <dataValidation type="list" allowBlank="1" sqref="J5:J50">
      <formula1>"Open,In Progress,Fixed,Retest,Closed,Rejected"</formula1>
      <formula2>0</formula2>
    </dataValidation>
    <dataValidation type="list" allowBlank="1" sqref="H5:I50">
      <formula1>"High,Medium,Low"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8"/>
  <sheetViews>
    <sheetView zoomScaleNormal="100" workbookViewId="0"/>
  </sheetViews>
  <sheetFormatPr defaultColWidth="8.7109375" defaultRowHeight="15" x14ac:dyDescent="0.25"/>
  <cols>
    <col min="1" max="1" width="22" customWidth="1"/>
    <col min="2" max="2" width="10" customWidth="1"/>
  </cols>
  <sheetData>
    <row r="1" spans="1:2" ht="18" x14ac:dyDescent="0.25">
      <c r="A1" s="1" t="s">
        <v>61</v>
      </c>
    </row>
    <row r="3" spans="1:2" x14ac:dyDescent="0.25">
      <c r="A3" s="10" t="s">
        <v>62</v>
      </c>
      <c r="B3" s="11">
        <f>COUNTA('Bug Report'!A5:A50)</f>
        <v>6</v>
      </c>
    </row>
    <row r="4" spans="1:2" x14ac:dyDescent="0.25">
      <c r="A4" s="10" t="s">
        <v>63</v>
      </c>
      <c r="B4" s="11">
        <f>COUNTIF('Bug Report'!H5:H50,"High")</f>
        <v>0</v>
      </c>
    </row>
    <row r="5" spans="1:2" x14ac:dyDescent="0.25">
      <c r="A5" s="10" t="s">
        <v>64</v>
      </c>
      <c r="B5" s="11">
        <f>COUNTIF('Bug Report'!H5:H50,"Medium")</f>
        <v>2</v>
      </c>
    </row>
    <row r="6" spans="1:2" x14ac:dyDescent="0.25">
      <c r="A6" s="10" t="s">
        <v>65</v>
      </c>
      <c r="B6" s="11">
        <f>COUNTIF('Bug Report'!H5:H50,"Low")</f>
        <v>4</v>
      </c>
    </row>
    <row r="7" spans="1:2" x14ac:dyDescent="0.25">
      <c r="A7" s="10" t="s">
        <v>23</v>
      </c>
      <c r="B7" s="11">
        <f>COUNTIF('Bug Report'!J5:J50,"Open")</f>
        <v>6</v>
      </c>
    </row>
    <row r="8" spans="1:2" x14ac:dyDescent="0.25">
      <c r="A8" s="10" t="s">
        <v>66</v>
      </c>
      <c r="B8" s="11">
        <f>COUNTIF('Bug Report'!J5:J50,"Closed")</f>
        <v>0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Views>
    <sheetView zoomScaleNormal="100" workbookViewId="0"/>
  </sheetViews>
  <sheetFormatPr defaultColWidth="8.7109375" defaultRowHeight="15" x14ac:dyDescent="0.25"/>
  <cols>
    <col min="1" max="1" width="12" customWidth="1"/>
    <col min="2" max="2" width="70" customWidth="1"/>
  </cols>
  <sheetData>
    <row r="1" spans="1:2" x14ac:dyDescent="0.25">
      <c r="A1" s="12" t="s">
        <v>9</v>
      </c>
      <c r="B1" s="12" t="s">
        <v>67</v>
      </c>
    </row>
    <row r="2" spans="1:2" x14ac:dyDescent="0.25">
      <c r="A2" s="4" t="s">
        <v>68</v>
      </c>
      <c r="B2" s="4" t="s">
        <v>69</v>
      </c>
    </row>
    <row r="3" spans="1:2" x14ac:dyDescent="0.25">
      <c r="A3" s="4" t="s">
        <v>22</v>
      </c>
      <c r="B3" s="4" t="s">
        <v>70</v>
      </c>
    </row>
    <row r="4" spans="1:2" x14ac:dyDescent="0.25">
      <c r="A4" s="4" t="s">
        <v>31</v>
      </c>
      <c r="B4" s="4" t="s">
        <v>71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Bug Report</vt:lpstr>
      <vt:lpstr>Summary</vt:lpstr>
      <vt:lpstr>Severity Guide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Abhishek</cp:lastModifiedBy>
  <cp:revision>0</cp:revision>
  <dcterms:created xsi:type="dcterms:W3CDTF">2026-10-30T09:46:52Z</dcterms:created>
  <dcterms:modified xsi:type="dcterms:W3CDTF">2026-10-30T10:05:52Z</dcterms:modified>
  <dc:language>en-US</dc:language>
</cp:coreProperties>
</file>