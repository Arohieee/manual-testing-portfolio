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bookViews>
    <workbookView xWindow="0" yWindow="0" windowWidth="20490" windowHeight="7530" tabRatio="500"/>
  </bookViews>
  <sheets>
    <sheet name="RTM" sheetId="1" r:id="rId1"/>
    <sheet name="Test Case Status" sheetId="2" r:id="rId2"/>
    <sheet name="Summary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3" l="1"/>
  <c r="B7" i="3"/>
  <c r="B4" i="3"/>
  <c r="B3" i="3"/>
  <c r="L16" i="1"/>
  <c r="K16" i="1"/>
  <c r="J16" i="1"/>
  <c r="I16" i="1"/>
  <c r="H16" i="1"/>
  <c r="G16" i="1"/>
  <c r="F16" i="1"/>
  <c r="E16" i="1"/>
  <c r="D16" i="1"/>
  <c r="C16" i="1"/>
  <c r="M15" i="1"/>
  <c r="M14" i="1"/>
  <c r="M13" i="1"/>
  <c r="M12" i="1"/>
  <c r="M11" i="1"/>
  <c r="M10" i="1"/>
  <c r="M9" i="1"/>
  <c r="M8" i="1"/>
  <c r="M7" i="1"/>
  <c r="M6" i="1"/>
  <c r="M5" i="1"/>
  <c r="B5" i="3" l="1"/>
  <c r="B6" i="3" s="1"/>
  <c r="B9" i="3"/>
  <c r="M16" i="1"/>
</calcChain>
</file>

<file path=xl/sharedStrings.xml><?xml version="1.0" encoding="utf-8"?>
<sst xmlns="http://schemas.openxmlformats.org/spreadsheetml/2006/main" count="138" uniqueCount="81">
  <si>
    <t>Requirement Traceability Matrix (RTM)</t>
  </si>
  <si>
    <t>X = test case covers the requirement</t>
  </si>
  <si>
    <t>Req ID</t>
  </si>
  <si>
    <t>Requirement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</si>
  <si>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</si>
  <si>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</si>
  <si>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</si>
  <si>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</si>
  <si>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</si>
  <si>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</si>
  <si>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</si>
  <si>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</si>
  <si>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</si>
  <si>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</si>
  <si>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Total TCs</t>
  </si>
  <si>
    <t>Linked Defects</t>
  </si>
  <si>
    <t>REQ_01</t>
  </si>
  <si>
    <t>User Registration</t>
  </si>
  <si>
    <t>X</t>
  </si>
  <si>
    <t>BUG-003</t>
  </si>
  <si>
    <t>REQ_02</t>
  </si>
  <si>
    <t>Login and Logout</t>
  </si>
  <si>
    <t>-</t>
  </si>
  <si>
    <t>REQ_03</t>
  </si>
  <si>
    <t>Product Search and Product Details</t>
  </si>
  <si>
    <t>BUG-005</t>
  </si>
  <si>
    <t>REQ_04</t>
  </si>
  <si>
    <t>Wishlist Management</t>
  </si>
  <si>
    <t>REQ_05</t>
  </si>
  <si>
    <t>Product Comparison</t>
  </si>
  <si>
    <t>REQ_06</t>
  </si>
  <si>
    <t>Shopping Cart</t>
  </si>
  <si>
    <t>BUG-004</t>
  </si>
  <si>
    <t>REQ_07</t>
  </si>
  <si>
    <t>Checkout Process</t>
  </si>
  <si>
    <t>BUG-001, BUG-002</t>
  </si>
  <si>
    <t>REQ_08</t>
  </si>
  <si>
    <t>Customer Information Management</t>
  </si>
  <si>
    <t>REQ_09</t>
  </si>
  <si>
    <t>Address Management</t>
  </si>
  <si>
    <t>REQ_10</t>
  </si>
  <si>
    <t>Order Confirmation and Order History</t>
  </si>
  <si>
    <t>REQ_11</t>
  </si>
  <si>
    <t>Category Browsing</t>
  </si>
  <si>
    <t>Total</t>
  </si>
  <si>
    <t>Requirements per test case</t>
  </si>
  <si>
    <t>TC ID</t>
  </si>
  <si>
    <t>Test Scenario</t>
  </si>
  <si>
    <t>Requirements Covered</t>
  </si>
  <si>
    <t>Execution Status</t>
  </si>
  <si>
    <t>Defect ID</t>
  </si>
  <si>
    <t>Remarks</t>
  </si>
  <si>
    <t>Verify new user registration, login, browsing and logout</t>
  </si>
  <si>
    <t>REQ_01, REQ_02</t>
  </si>
  <si>
    <t>Fail</t>
  </si>
  <si>
    <t>Defect logged in Bug Report</t>
  </si>
  <si>
    <t>Verify login, product search, product details, add to wishlist and wishlist verification</t>
  </si>
  <si>
    <t>REQ_03, REQ_04</t>
  </si>
  <si>
    <t>Verify login, product comparison and comparison verification</t>
  </si>
  <si>
    <t>Pass</t>
  </si>
  <si>
    <t>Verify login, add product to cart, update quantity, remove product and cart verification</t>
  </si>
  <si>
    <t>Verify login, adding multiple products, cart changes and checkout</t>
  </si>
  <si>
    <t>REQ_06, REQ_07</t>
  </si>
  <si>
    <t>Verify login, managing customer information, saving changes and verifying saved data</t>
  </si>
  <si>
    <t>Verify login, adding address, selecting product, checkout and address verification</t>
  </si>
  <si>
    <t>REQ_07, REQ_09</t>
  </si>
  <si>
    <t>Verify login, product purchase, order confirmation and order history</t>
  </si>
  <si>
    <t>REQ_07, REQ_10</t>
  </si>
  <si>
    <t>Verify login, wishlist product moved to cart and checkout</t>
  </si>
  <si>
    <t>REQ_04, REQ_06, REQ_07</t>
  </si>
  <si>
    <t>Verify login, category browsing, product selection, add to cart, continue shopping and final cart verification</t>
  </si>
  <si>
    <t>REQ_06, REQ_11</t>
  </si>
  <si>
    <t>RTM Summary</t>
  </si>
  <si>
    <t>Total requirements</t>
  </si>
  <si>
    <t>Total test cases</t>
  </si>
  <si>
    <t>Requirements with at least one test case</t>
  </si>
  <si>
    <t>Requirement coverage (%)</t>
  </si>
  <si>
    <t>Test cases passed</t>
  </si>
  <si>
    <t>Test cases failed</t>
  </si>
  <si>
    <t>Pass percentage</t>
  </si>
  <si>
    <t>Prepared by:- Anushka Sakare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</si>
</sst>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A18" sqref="A18:XFD18"/>
    </sheetView>
  </sheetViews>
  <sheetFormatPr defaultColWidth="8.7109375" defaultRowHeight="15" x14ac:dyDescent="0.25"/>
  <cols>
    <col min="1" max="1" width="10" customWidth="1"/>
    <col min="2" max="2" width="38" customWidth="1"/>
    <col min="3" max="3" width="8" customWidth="1"/>
    <col min="4" max="4" width="9.85546875" customWidth="1"/>
    <col min="5" max="12" width="8" customWidth="1"/>
    <col min="13" max="13" width="10" customWidth="1"/>
    <col min="14" max="14" width="20" customWidth="1"/>
  </cols>
  <sheetData>
    <row r="1" spans="1:14" ht="18" x14ac:dyDescent="0.25">
      <c r="A1" s="1" t="s">
        <v>0</v>
      </c>
    </row>
    <row r="2" spans="1:14" x14ac:dyDescent="0.25">
      <c r="A2" s="2" t="s">
        <v>1</v>
      </c>
    </row>
    <row r="3" spans="1:14" x14ac:dyDescent="0.25">
      <c r="A3" t="s">
        <v>80</v>
      </c>
    </row>
    <row r="4" spans="1:14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 x14ac:dyDescent="0.25">
      <c r="A5" s="4" t="s">
        <v>16</v>
      </c>
      <c r="B5" s="5" t="s">
        <v>17</v>
      </c>
      <c r="C5" s="6" t="s">
        <v>18</v>
      </c>
      <c r="D5" s="4"/>
      <c r="E5" s="4"/>
      <c r="F5" s="4"/>
      <c r="G5" s="4"/>
      <c r="H5" s="4"/>
      <c r="I5" s="4"/>
      <c r="J5" s="4"/>
      <c r="K5" s="4"/>
      <c r="L5" s="4"/>
      <c r="M5" s="4">
        <f t="shared" ref="M5:M15" si="0">COUNTIF(C5:L5,"X")</f>
        <v>1</v>
      </c>
      <c r="N5" s="4" t="s">
        <v>19</v>
      </c>
    </row>
    <row r="6" spans="1:14" x14ac:dyDescent="0.25">
      <c r="A6" s="4" t="s">
        <v>20</v>
      </c>
      <c r="B6" s="5" t="s">
        <v>21</v>
      </c>
      <c r="C6" s="6" t="s">
        <v>18</v>
      </c>
      <c r="D6" s="4"/>
      <c r="E6" s="4"/>
      <c r="F6" s="4"/>
      <c r="G6" s="4"/>
      <c r="H6" s="4"/>
      <c r="I6" s="4"/>
      <c r="J6" s="4"/>
      <c r="K6" s="4"/>
      <c r="L6" s="4"/>
      <c r="M6" s="4">
        <f t="shared" si="0"/>
        <v>1</v>
      </c>
      <c r="N6" s="4" t="s">
        <v>22</v>
      </c>
    </row>
    <row r="7" spans="1:14" x14ac:dyDescent="0.25">
      <c r="A7" s="4" t="s">
        <v>23</v>
      </c>
      <c r="B7" s="5" t="s">
        <v>24</v>
      </c>
      <c r="C7" s="4"/>
      <c r="D7" s="6" t="s">
        <v>18</v>
      </c>
      <c r="E7" s="4"/>
      <c r="F7" s="4"/>
      <c r="G7" s="4"/>
      <c r="H7" s="4"/>
      <c r="I7" s="4"/>
      <c r="J7" s="4"/>
      <c r="K7" s="4"/>
      <c r="L7" s="4"/>
      <c r="M7" s="4">
        <f t="shared" si="0"/>
        <v>1</v>
      </c>
      <c r="N7" s="4" t="s">
        <v>25</v>
      </c>
    </row>
    <row r="8" spans="1:14" x14ac:dyDescent="0.25">
      <c r="A8" s="4" t="s">
        <v>26</v>
      </c>
      <c r="B8" s="5" t="s">
        <v>27</v>
      </c>
      <c r="C8" s="4"/>
      <c r="D8" s="6" t="s">
        <v>18</v>
      </c>
      <c r="E8" s="4"/>
      <c r="F8" s="4"/>
      <c r="G8" s="4"/>
      <c r="H8" s="4"/>
      <c r="I8" s="4"/>
      <c r="J8" s="4"/>
      <c r="K8" s="6" t="s">
        <v>18</v>
      </c>
      <c r="L8" s="4"/>
      <c r="M8" s="4">
        <f t="shared" si="0"/>
        <v>2</v>
      </c>
      <c r="N8" s="4" t="s">
        <v>22</v>
      </c>
    </row>
    <row r="9" spans="1:14" x14ac:dyDescent="0.25">
      <c r="A9" s="4" t="s">
        <v>28</v>
      </c>
      <c r="B9" s="5" t="s">
        <v>29</v>
      </c>
      <c r="C9" s="4"/>
      <c r="D9" s="4"/>
      <c r="E9" s="6" t="s">
        <v>18</v>
      </c>
      <c r="F9" s="4"/>
      <c r="G9" s="4"/>
      <c r="H9" s="4"/>
      <c r="I9" s="4"/>
      <c r="J9" s="4"/>
      <c r="K9" s="4"/>
      <c r="L9" s="4"/>
      <c r="M9" s="4">
        <f t="shared" si="0"/>
        <v>1</v>
      </c>
      <c r="N9" s="4" t="s">
        <v>22</v>
      </c>
    </row>
    <row r="10" spans="1:14" x14ac:dyDescent="0.25">
      <c r="A10" s="4" t="s">
        <v>30</v>
      </c>
      <c r="B10" s="5" t="s">
        <v>31</v>
      </c>
      <c r="C10" s="4"/>
      <c r="D10" s="4"/>
      <c r="E10" s="4"/>
      <c r="F10" s="6" t="s">
        <v>18</v>
      </c>
      <c r="G10" s="6" t="s">
        <v>18</v>
      </c>
      <c r="H10" s="4"/>
      <c r="I10" s="4"/>
      <c r="J10" s="4"/>
      <c r="K10" s="6" t="s">
        <v>18</v>
      </c>
      <c r="L10" s="6" t="s">
        <v>18</v>
      </c>
      <c r="M10" s="4">
        <f t="shared" si="0"/>
        <v>4</v>
      </c>
      <c r="N10" s="4" t="s">
        <v>32</v>
      </c>
    </row>
    <row r="11" spans="1:14" x14ac:dyDescent="0.25">
      <c r="A11" s="4" t="s">
        <v>33</v>
      </c>
      <c r="B11" s="5" t="s">
        <v>34</v>
      </c>
      <c r="C11" s="4"/>
      <c r="D11" s="4"/>
      <c r="E11" s="4"/>
      <c r="F11" s="4"/>
      <c r="G11" s="6" t="s">
        <v>18</v>
      </c>
      <c r="H11" s="4"/>
      <c r="I11" s="6" t="s">
        <v>18</v>
      </c>
      <c r="J11" s="6" t="s">
        <v>18</v>
      </c>
      <c r="K11" s="6" t="s">
        <v>18</v>
      </c>
      <c r="L11" s="4"/>
      <c r="M11" s="4">
        <f t="shared" si="0"/>
        <v>4</v>
      </c>
      <c r="N11" s="4" t="s">
        <v>35</v>
      </c>
    </row>
    <row r="12" spans="1:14" x14ac:dyDescent="0.25">
      <c r="A12" s="4" t="s">
        <v>36</v>
      </c>
      <c r="B12" s="5" t="s">
        <v>37</v>
      </c>
      <c r="C12" s="4"/>
      <c r="D12" s="4"/>
      <c r="E12" s="4"/>
      <c r="F12" s="4"/>
      <c r="G12" s="4"/>
      <c r="H12" s="6" t="s">
        <v>18</v>
      </c>
      <c r="I12" s="4"/>
      <c r="J12" s="4"/>
      <c r="K12" s="4"/>
      <c r="L12" s="4"/>
      <c r="M12" s="4">
        <f t="shared" si="0"/>
        <v>1</v>
      </c>
      <c r="N12" s="4" t="s">
        <v>22</v>
      </c>
    </row>
    <row r="13" spans="1:14" x14ac:dyDescent="0.25">
      <c r="A13" s="4" t="s">
        <v>38</v>
      </c>
      <c r="B13" s="5" t="s">
        <v>39</v>
      </c>
      <c r="C13" s="4"/>
      <c r="D13" s="4"/>
      <c r="E13" s="4"/>
      <c r="F13" s="4"/>
      <c r="G13" s="4"/>
      <c r="H13" s="4"/>
      <c r="I13" s="6" t="s">
        <v>18</v>
      </c>
      <c r="J13" s="4"/>
      <c r="K13" s="4"/>
      <c r="L13" s="4"/>
      <c r="M13" s="4">
        <f t="shared" si="0"/>
        <v>1</v>
      </c>
      <c r="N13" s="4" t="s">
        <v>35</v>
      </c>
    </row>
    <row r="14" spans="1:14" x14ac:dyDescent="0.25">
      <c r="A14" s="4" t="s">
        <v>40</v>
      </c>
      <c r="B14" s="5" t="s">
        <v>41</v>
      </c>
      <c r="C14" s="4"/>
      <c r="D14" s="4"/>
      <c r="E14" s="4"/>
      <c r="F14" s="4"/>
      <c r="G14" s="4"/>
      <c r="H14" s="4"/>
      <c r="I14" s="4"/>
      <c r="J14" s="6" t="s">
        <v>18</v>
      </c>
      <c r="K14" s="4"/>
      <c r="L14" s="4"/>
      <c r="M14" s="4">
        <f t="shared" si="0"/>
        <v>1</v>
      </c>
      <c r="N14" s="4" t="s">
        <v>22</v>
      </c>
    </row>
    <row r="15" spans="1:14" x14ac:dyDescent="0.25">
      <c r="A15" s="4" t="s">
        <v>42</v>
      </c>
      <c r="B15" s="5" t="s">
        <v>43</v>
      </c>
      <c r="C15" s="4"/>
      <c r="D15" s="4"/>
      <c r="E15" s="4"/>
      <c r="F15" s="4"/>
      <c r="G15" s="4"/>
      <c r="H15" s="4"/>
      <c r="I15" s="4"/>
      <c r="J15" s="4"/>
      <c r="K15" s="4"/>
      <c r="L15" s="6" t="s">
        <v>18</v>
      </c>
      <c r="M15" s="4">
        <f t="shared" si="0"/>
        <v>1</v>
      </c>
      <c r="N15" s="4" t="s">
        <v>22</v>
      </c>
    </row>
    <row r="16" spans="1:14" x14ac:dyDescent="0.25">
      <c r="A16" s="6" t="s">
        <v>44</v>
      </c>
      <c r="B16" s="7" t="s">
        <v>45</v>
      </c>
      <c r="C16" s="6">
        <f t="shared" ref="C16:L16" si="1">COUNTIF(C5:C15,"X")</f>
        <v>2</v>
      </c>
      <c r="D16" s="6">
        <f t="shared" si="1"/>
        <v>2</v>
      </c>
      <c r="E16" s="6">
        <f t="shared" si="1"/>
        <v>1</v>
      </c>
      <c r="F16" s="6">
        <f t="shared" si="1"/>
        <v>1</v>
      </c>
      <c r="G16" s="6">
        <f t="shared" si="1"/>
        <v>2</v>
      </c>
      <c r="H16" s="6">
        <f t="shared" si="1"/>
        <v>1</v>
      </c>
      <c r="I16" s="6">
        <f t="shared" si="1"/>
        <v>2</v>
      </c>
      <c r="J16" s="6">
        <f t="shared" si="1"/>
        <v>2</v>
      </c>
      <c r="K16" s="6">
        <f t="shared" si="1"/>
        <v>3</v>
      </c>
      <c r="L16" s="6">
        <f t="shared" si="1"/>
        <v>2</v>
      </c>
      <c r="M16" s="6">
        <f>SUM(M5:M15)</f>
        <v>18</v>
      </c>
      <c r="N16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9" customWidth="1"/>
    <col min="2" max="2" width="62" customWidth="1"/>
    <col min="3" max="3" width="30" customWidth="1"/>
    <col min="4" max="4" width="16" customWidth="1"/>
    <col min="5" max="5" width="18" customWidth="1"/>
    <col min="6" max="6" width="30" customWidth="1"/>
  </cols>
  <sheetData>
    <row r="1" spans="1:6" ht="25.5" x14ac:dyDescent="0.25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</row>
    <row r="2" spans="1:6" ht="31.5" customHeight="1" x14ac:dyDescent="0.25">
      <c r="A2" s="4" t="s">
        <v>4</v>
      </c>
      <c r="B2" s="5" t="s">
        <v>52</v>
      </c>
      <c r="C2" s="5" t="s">
        <v>53</v>
      </c>
      <c r="D2" s="4" t="s">
        <v>54</v>
      </c>
      <c r="E2" s="4" t="s">
        <v>19</v>
      </c>
      <c r="F2" s="5" t="s">
        <v>55</v>
      </c>
    </row>
    <row r="3" spans="1:6" ht="31.5" customHeight="1" x14ac:dyDescent="0.25">
      <c r="A3" s="4" t="s">
        <v>5</v>
      </c>
      <c r="B3" s="5" t="s">
        <v>56</v>
      </c>
      <c r="C3" s="5" t="s">
        <v>57</v>
      </c>
      <c r="D3" s="4" t="s">
        <v>54</v>
      </c>
      <c r="E3" s="4" t="s">
        <v>25</v>
      </c>
      <c r="F3" s="5" t="s">
        <v>55</v>
      </c>
    </row>
    <row r="4" spans="1:6" ht="31.5" customHeight="1" x14ac:dyDescent="0.25">
      <c r="A4" s="4" t="s">
        <v>6</v>
      </c>
      <c r="B4" s="5" t="s">
        <v>58</v>
      </c>
      <c r="C4" s="5" t="s">
        <v>28</v>
      </c>
      <c r="D4" s="4" t="s">
        <v>59</v>
      </c>
      <c r="E4" s="4" t="s">
        <v>22</v>
      </c>
      <c r="F4" s="5"/>
    </row>
    <row r="5" spans="1:6" ht="31.5" customHeight="1" x14ac:dyDescent="0.25">
      <c r="A5" s="4" t="s">
        <v>7</v>
      </c>
      <c r="B5" s="5" t="s">
        <v>60</v>
      </c>
      <c r="C5" s="5" t="s">
        <v>30</v>
      </c>
      <c r="D5" s="4" t="s">
        <v>54</v>
      </c>
      <c r="E5" s="4" t="s">
        <v>32</v>
      </c>
      <c r="F5" s="5" t="s">
        <v>55</v>
      </c>
    </row>
    <row r="6" spans="1:6" ht="31.5" customHeight="1" x14ac:dyDescent="0.25">
      <c r="A6" s="4" t="s">
        <v>8</v>
      </c>
      <c r="B6" s="5" t="s">
        <v>61</v>
      </c>
      <c r="C6" s="5" t="s">
        <v>62</v>
      </c>
      <c r="D6" s="4" t="s">
        <v>59</v>
      </c>
      <c r="E6" s="4" t="s">
        <v>22</v>
      </c>
      <c r="F6" s="5"/>
    </row>
    <row r="7" spans="1:6" ht="31.5" customHeight="1" x14ac:dyDescent="0.25">
      <c r="A7" s="4" t="s">
        <v>9</v>
      </c>
      <c r="B7" s="5" t="s">
        <v>63</v>
      </c>
      <c r="C7" s="5" t="s">
        <v>36</v>
      </c>
      <c r="D7" s="4" t="s">
        <v>59</v>
      </c>
      <c r="E7" s="4" t="s">
        <v>22</v>
      </c>
      <c r="F7" s="5"/>
    </row>
    <row r="8" spans="1:6" ht="31.5" customHeight="1" x14ac:dyDescent="0.25">
      <c r="A8" s="4" t="s">
        <v>10</v>
      </c>
      <c r="B8" s="5" t="s">
        <v>64</v>
      </c>
      <c r="C8" s="5" t="s">
        <v>65</v>
      </c>
      <c r="D8" s="4" t="s">
        <v>54</v>
      </c>
      <c r="E8" s="4" t="s">
        <v>35</v>
      </c>
      <c r="F8" s="5" t="s">
        <v>55</v>
      </c>
    </row>
    <row r="9" spans="1:6" ht="31.5" customHeight="1" x14ac:dyDescent="0.25">
      <c r="A9" s="4" t="s">
        <v>11</v>
      </c>
      <c r="B9" s="5" t="s">
        <v>66</v>
      </c>
      <c r="C9" s="5" t="s">
        <v>67</v>
      </c>
      <c r="D9" s="4" t="s">
        <v>59</v>
      </c>
      <c r="E9" s="4" t="s">
        <v>22</v>
      </c>
      <c r="F9" s="5"/>
    </row>
    <row r="10" spans="1:6" ht="31.5" customHeight="1" x14ac:dyDescent="0.25">
      <c r="A10" s="4" t="s">
        <v>12</v>
      </c>
      <c r="B10" s="5" t="s">
        <v>68</v>
      </c>
      <c r="C10" s="5" t="s">
        <v>69</v>
      </c>
      <c r="D10" s="4" t="s">
        <v>59</v>
      </c>
      <c r="E10" s="4" t="s">
        <v>22</v>
      </c>
      <c r="F10" s="5"/>
    </row>
    <row r="11" spans="1:6" ht="31.5" customHeight="1" x14ac:dyDescent="0.25">
      <c r="A11" s="4" t="s">
        <v>13</v>
      </c>
      <c r="B11" s="5" t="s">
        <v>70</v>
      </c>
      <c r="C11" s="5" t="s">
        <v>71</v>
      </c>
      <c r="D11" s="4" t="s">
        <v>59</v>
      </c>
      <c r="E11" s="4" t="s">
        <v>22</v>
      </c>
      <c r="F11" s="5"/>
    </row>
  </sheetData>
  <conditionalFormatting sqref="D2:D50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1">
    <dataValidation type="list" allowBlank="1" sqref="D2:D50">
      <formula1>"Pass,Fail,Blocked,Not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/>
  </sheetViews>
  <sheetFormatPr defaultColWidth="8.7109375" defaultRowHeight="15" x14ac:dyDescent="0.25"/>
  <cols>
    <col min="1" max="1" width="42" customWidth="1"/>
    <col min="2" max="2" width="12" customWidth="1"/>
  </cols>
  <sheetData>
    <row r="1" spans="1:2" ht="18" x14ac:dyDescent="0.25">
      <c r="A1" s="1" t="s">
        <v>72</v>
      </c>
    </row>
    <row r="3" spans="1:2" x14ac:dyDescent="0.25">
      <c r="A3" s="7" t="s">
        <v>73</v>
      </c>
      <c r="B3" s="4">
        <f>COUNTA(RTM!A5:A15)</f>
        <v>11</v>
      </c>
    </row>
    <row r="4" spans="1:2" x14ac:dyDescent="0.25">
      <c r="A4" s="7" t="s">
        <v>74</v>
      </c>
      <c r="B4" s="4">
        <f>COUNTA('Test Case Status'!A2:A50)</f>
        <v>10</v>
      </c>
    </row>
    <row r="5" spans="1:2" x14ac:dyDescent="0.25">
      <c r="A5" s="7" t="s">
        <v>75</v>
      </c>
      <c r="B5" s="4">
        <f>COUNTIF(RTM!M5:M15,"&gt;0")</f>
        <v>11</v>
      </c>
    </row>
    <row r="6" spans="1:2" x14ac:dyDescent="0.25">
      <c r="A6" s="7" t="s">
        <v>76</v>
      </c>
      <c r="B6" s="8">
        <f>B5/B3</f>
        <v>1</v>
      </c>
    </row>
    <row r="7" spans="1:2" x14ac:dyDescent="0.25">
      <c r="A7" s="7" t="s">
        <v>77</v>
      </c>
      <c r="B7" s="4">
        <f>COUNTIF('Test Case Status'!D2:D50,"Pass")</f>
        <v>6</v>
      </c>
    </row>
    <row r="8" spans="1:2" x14ac:dyDescent="0.25">
      <c r="A8" s="7" t="s">
        <v>78</v>
      </c>
      <c r="B8" s="4">
        <f>COUNTIF('Test Case Status'!D2:D50,"Fail")</f>
        <v>4</v>
      </c>
    </row>
    <row r="9" spans="1:2" x14ac:dyDescent="0.25">
      <c r="A9" s="7" t="s">
        <v>79</v>
      </c>
      <c r="B9" s="8">
        <f>B7/B4</f>
        <v>0.6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Test Case Status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</cp:lastModifiedBy>
  <cp:revision>0</cp:revision>
  <dcterms:created xsi:type="dcterms:W3CDTF">2026-10-30T10:10:46Z</dcterms:created>
  <dcterms:modified xsi:type="dcterms:W3CDTF">2026-10-30T10:32:15Z</dcterms:modified>
  <dc:language>en-US</dc:language>
</cp:coreProperties>
</file>